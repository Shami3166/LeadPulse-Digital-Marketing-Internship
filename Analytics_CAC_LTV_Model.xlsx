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Input Assumptions" sheetId="2" state="visible" r:id="rId4"/>
    <sheet name="Funnel Forecast" sheetId="3" state="visible" r:id="rId5"/>
    <sheet name="CAC &amp; LTV Analysis" sheetId="4" state="visible" r:id="rId6"/>
    <sheet name="ROI &amp; Scenario Planning" sheetId="5" state="visible" r:id="rId7"/>
    <sheet name="Calculation Notes" sheetId="6" state="visible" r:id="rId8"/>
  </sheets>
  <definedNames>
    <definedName function="false" hidden="false" localSheetId="3" name="_xlnm.Print_Area" vbProcedure="false">'CAC &amp; LTV Analysis'!$A$1:$H$34</definedName>
    <definedName function="false" hidden="false" localSheetId="5" name="_xlnm.Print_Area" vbProcedure="false">'Calculation Notes'!$A$1:$B$24</definedName>
    <definedName function="false" hidden="false" localSheetId="0" name="_xlnm.Print_Area" vbProcedure="false">'Executive Dashboard'!$A$1:$L$34</definedName>
    <definedName function="false" hidden="false" localSheetId="2" name="_xlnm.Print_Area" vbProcedure="false">'Funnel Forecast'!$A$1:$D$18</definedName>
    <definedName function="false" hidden="false" localSheetId="1" name="_xlnm.Print_Area" vbProcedure="false">'Input Assumptions'!$A$1:$H$33</definedName>
    <definedName function="false" hidden="false" localSheetId="4" name="_xlnm.Print_Area" vbProcedure="false">'ROI &amp; Scenario Planning'!$A$1:$H$39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<sst xmlns="http://schemas.openxmlformats.org/spreadsheetml/2006/main" count="174" uniqueCount="132">
  <si>
    <t xml:space="preserve">LeadPulse Growth Analytics Dashboard</t>
  </si>
  <si>
    <t xml:space="preserve">30-Day Multi-Channel Growth Marketing Forecast</t>
  </si>
  <si>
    <t xml:space="preserve">All figures are illustrative planning assumptions, not actual campaign results.</t>
  </si>
  <si>
    <t xml:space="preserve">Total Marketing Budget</t>
  </si>
  <si>
    <t xml:space="preserve">Total Leads</t>
  </si>
  <si>
    <t xml:space="preserve">Qualified Leads</t>
  </si>
  <si>
    <t xml:space="preserve">Customers Acquired</t>
  </si>
  <si>
    <t xml:space="preserve">Customer Acquisition Cost (CAC)</t>
  </si>
  <si>
    <t xml:space="preserve">Customer Lifetime Value (LTV)</t>
  </si>
  <si>
    <t xml:space="preserve">LTV:CAC Ratio</t>
  </si>
  <si>
    <t xml:space="preserve">Estimated Revenue</t>
  </si>
  <si>
    <t xml:space="preserve">Estimated ROI</t>
  </si>
  <si>
    <t xml:space="preserve">INPUT ASSUMPTIONS</t>
  </si>
  <si>
    <t xml:space="preserve">Editable planning inputs — yellow cells drive every calculation in this workbook. All figures are Illustrative Forecast / Planning Assumptions.</t>
  </si>
  <si>
    <t xml:space="preserve">Campaign Assumptions</t>
  </si>
  <si>
    <t xml:space="preserve">Campaign Duration (Days)</t>
  </si>
  <si>
    <t xml:space="preserve">Total Marketing Budget (PKR)</t>
  </si>
  <si>
    <t xml:space="preserve">Currency</t>
  </si>
  <si>
    <t xml:space="preserve">PKR</t>
  </si>
  <si>
    <t xml:space="preserve">Monthly Subscription Price (PKR)</t>
  </si>
  <si>
    <t xml:space="preserve">Monthly Churn Rate</t>
  </si>
  <si>
    <t xml:space="preserve">Average Customer Lifespan (Months)</t>
  </si>
  <si>
    <t xml:space="preserve">Gross Margin</t>
  </si>
  <si>
    <t xml:space="preserve">Landing Page Conversion Rate (Clicks to Leads)</t>
  </si>
  <si>
    <t xml:space="preserve">Lead Qualification Rate (Leads to Qualified)</t>
  </si>
  <si>
    <t xml:space="preserve">Trial/Demo-to-Paid Conversion Rate</t>
  </si>
  <si>
    <t xml:space="preserve">Channel Budgets</t>
  </si>
  <si>
    <t xml:space="preserve">Channel</t>
  </si>
  <si>
    <t xml:space="preserve">Budget %</t>
  </si>
  <si>
    <t xml:space="preserve">Budget (PKR)</t>
  </si>
  <si>
    <t xml:space="preserve">Google Ads</t>
  </si>
  <si>
    <t xml:space="preserve">LinkedIn Ads</t>
  </si>
  <si>
    <t xml:space="preserve">Organic Social Media</t>
  </si>
  <si>
    <t xml:space="preserve">Email Marketing</t>
  </si>
  <si>
    <t xml:space="preserve">Total</t>
  </si>
  <si>
    <t xml:space="preserve">Channel Forecast Inputs</t>
  </si>
  <si>
    <t xml:space="preserve">Impressions</t>
  </si>
  <si>
    <t xml:space="preserve">CTR</t>
  </si>
  <si>
    <t xml:space="preserve">Clicks</t>
  </si>
  <si>
    <t xml:space="preserve">Leads</t>
  </si>
  <si>
    <t xml:space="preserve">Customers</t>
  </si>
  <si>
    <t xml:space="preserve">Yellow cells (Impressions, CTR, and top assumptions) are editable inputs. Changing them automatically updates every sheet in this workbook.</t>
  </si>
  <si>
    <t xml:space="preserve">All figures are Illustrative Forecast / Planning Assumptions for internship purposes — not actual campaign data.</t>
  </si>
  <si>
    <t xml:space="preserve">FUNNEL FORECAST</t>
  </si>
  <si>
    <t xml:space="preserve">Illustrative Forecast / Planning Assumptions — 30-Day Multi-Channel Campaign</t>
  </si>
  <si>
    <t xml:space="preserve">Funnel Stage</t>
  </si>
  <si>
    <t xml:space="preserve">Value</t>
  </si>
  <si>
    <t xml:space="preserve">Conversion Rate
from Previous Stage</t>
  </si>
  <si>
    <t xml:space="preserve">Notes</t>
  </si>
  <si>
    <t xml:space="preserve">-</t>
  </si>
  <si>
    <t xml:space="preserve">Total paid + organic + email impressions/sends</t>
  </si>
  <si>
    <t xml:space="preserve">Blended click-through rate across channels</t>
  </si>
  <si>
    <t xml:space="preserve">Website Visits</t>
  </si>
  <si>
    <t xml:space="preserve">Assumes each click lands on the site (1:1)</t>
  </si>
  <si>
    <t xml:space="preserve">Visits converting via landing page form</t>
  </si>
  <si>
    <t xml:space="preserve">Leads meeting ICP/qualification criteria</t>
  </si>
  <si>
    <t xml:space="preserve">Trial/Demo Signups</t>
  </si>
  <si>
    <t xml:space="preserve">Assumes qualified leads proceed to a trial/demo</t>
  </si>
  <si>
    <t xml:space="preserve">Paying Customers</t>
  </si>
  <si>
    <t xml:space="preserve">Trial/demo signups converting to paid</t>
  </si>
  <si>
    <t xml:space="preserve">Where the Biggest Drop-Off Occurs</t>
  </si>
  <si>
    <t xml:space="preserve">The largest drop-off in the funnel happens between Impressions and Clicks — the blended click-through rate across Google, LinkedIn, Organic Social, and Email is well under 5%, consistent with typical multi-channel digital campaigns. Every later stage (Leads → Qualified → Trial → Paying Customer) narrows the funnel further but at a much lower rate. This suggests creative and targeting refinements to raise CTR would have the largest leverage on total customers acquired.</t>
  </si>
  <si>
    <t xml:space="preserve">CAC &amp; LTV ANALYSIS</t>
  </si>
  <si>
    <t xml:space="preserve">Illustrative Forecast / Planning Assumptions</t>
  </si>
  <si>
    <t xml:space="preserve">CAC = Total Marketing Cost ÷ Number of New Customers</t>
  </si>
  <si>
    <t xml:space="preserve">CAC (PKR)</t>
  </si>
  <si>
    <t xml:space="preserve">Total / Blended CAC</t>
  </si>
  <si>
    <t xml:space="preserve">LTV = Monthly Revenue Per Customer × Customer Lifespan × Gross Margin</t>
  </si>
  <si>
    <t xml:space="preserve">Monthly Revenue Per Customer (PKR)</t>
  </si>
  <si>
    <t xml:space="preserve">Customer Lifetime Value (LTV) (PKR)</t>
  </si>
  <si>
    <t xml:space="preserve">LTV Sensitivity — Churn Rate</t>
  </si>
  <si>
    <t xml:space="preserve">Churn Rate</t>
  </si>
  <si>
    <t xml:space="preserve">Lifespan (Months)</t>
  </si>
  <si>
    <t xml:space="preserve">LTV (PKR)</t>
  </si>
  <si>
    <t xml:space="preserve">Sensitivity table shows how LTV changes if monthly churn differs from the base assumption of 4% (row 16). Lower churn materially increases LTV and the LTV:CAC ratio.</t>
  </si>
  <si>
    <t xml:space="preserve">Chart Data</t>
  </si>
  <si>
    <t xml:space="preserve">Blended CAC</t>
  </si>
  <si>
    <t xml:space="preserve">LTV</t>
  </si>
  <si>
    <t xml:space="preserve">ROI &amp; SCENARIO PLANNING</t>
  </si>
  <si>
    <t xml:space="preserve">Base Case Forecast (30 Days)</t>
  </si>
  <si>
    <t xml:space="preserve">Marketing Cost (PKR)</t>
  </si>
  <si>
    <t xml:space="preserve">Monthly Revenue (PKR)</t>
  </si>
  <si>
    <t xml:space="preserve">Gross Profit (PKR)</t>
  </si>
  <si>
    <t xml:space="preserve">Estimated Profit After Marketing Cost (PKR)</t>
  </si>
  <si>
    <t xml:space="preserve">ROI (%)</t>
  </si>
  <si>
    <t xml:space="preserve">Contribution Margin Per Customer (PKR)</t>
  </si>
  <si>
    <t xml:space="preserve">Break-Even Customers (Month 1)</t>
  </si>
  <si>
    <t xml:space="preserve">Month-1 ROI is expected to be negative: marketing cost is paid up front while subscription revenue is recovered gradually over the customer's full lifespan. The LTV:CAC ratio (row 15) is the better indicator of long-run profitability than the single-month ROI figure above.</t>
  </si>
  <si>
    <t xml:space="preserve">Scenario Comparison</t>
  </si>
  <si>
    <t xml:space="preserve">Metric</t>
  </si>
  <si>
    <t xml:space="preserve">Conservative</t>
  </si>
  <si>
    <t xml:space="preserve">Base</t>
  </si>
  <si>
    <t xml:space="preserve">Optimistic</t>
  </si>
  <si>
    <t xml:space="preserve">Scenario Multiplier (applied to Leads/Customers)</t>
  </si>
  <si>
    <t xml:space="preserve">Revenue (PKR)</t>
  </si>
  <si>
    <t xml:space="preserve">Break-Even Customers = Marketing Cost ÷ Contribution Margin Per Customer (see row 16). This measures break-even within the 30-day window; profitability over the full customer lifespan is captured by the LTV:CAC ratio instead.</t>
  </si>
  <si>
    <t xml:space="preserve">Recommendation</t>
  </si>
  <si>
    <t xml:space="preserve">Even in the Conservative scenario, the LTV:CAC ratio remains well above the commonly cited 3:1 SaaS benchmark, suggesting the acquisition assumptions used here have room to absorb higher real-world CAC once live campaign data replaces these planning figures. Priority should go to improving top-of-funnel CTR (the largest drop-off identified in the Funnel Forecast sheet) and validating the churn and conversion-rate assumptions with real customer data as soon as it becomes available.</t>
  </si>
  <si>
    <t xml:space="preserve">CALCULATION NOTES</t>
  </si>
  <si>
    <t xml:space="preserve">Formulas and definitions used throughout this workbook</t>
  </si>
  <si>
    <t xml:space="preserve">Term</t>
  </si>
  <si>
    <t xml:space="preserve">Definition / Formula</t>
  </si>
  <si>
    <t xml:space="preserve">CTR (Click-Through Rate)</t>
  </si>
  <si>
    <t xml:space="preserve">Clicks ÷ Impressions. Measures what share of an audience that saw an ad or post clicked through.</t>
  </si>
  <si>
    <t xml:space="preserve">CPC (Cost Per Click)</t>
  </si>
  <si>
    <t xml:space="preserve">Channel Budget ÷ Clicks. Average cost paid for each click.</t>
  </si>
  <si>
    <t xml:space="preserve">CPL (Cost Per Lead)</t>
  </si>
  <si>
    <t xml:space="preserve">Channel Budget ÷ Leads. Average cost to generate one lead.</t>
  </si>
  <si>
    <t xml:space="preserve">CAC (Customer Acquisition Cost)</t>
  </si>
  <si>
    <t xml:space="preserve">Total Marketing Cost ÷ Number of New Customers. The blended cost to acquire one paying customer.</t>
  </si>
  <si>
    <t xml:space="preserve">Conversion Rate</t>
  </si>
  <si>
    <t xml:space="preserve">The percentage of prospects that move from one funnel stage to the next (e.g. Leads ÷ Clicks).</t>
  </si>
  <si>
    <t xml:space="preserve">Customer Lifespan</t>
  </si>
  <si>
    <t xml:space="preserve">1 ÷ Monthly Churn Rate. The average number of months a customer stays subscribed.</t>
  </si>
  <si>
    <t xml:space="preserve">LTV (Customer Lifetime Value)</t>
  </si>
  <si>
    <t xml:space="preserve">Monthly Revenue Per Customer × Customer Lifespan × Gross Margin. The total gross profit expected from one customer over their lifetime.</t>
  </si>
  <si>
    <t xml:space="preserve">LTV ÷ CAC. A common SaaS health metric; 3:1 or higher is generally considered healthy.</t>
  </si>
  <si>
    <t xml:space="preserve">Revenue</t>
  </si>
  <si>
    <t xml:space="preserve">Customers × Monthly Revenue Per Customer.</t>
  </si>
  <si>
    <t xml:space="preserve">Gross Profit</t>
  </si>
  <si>
    <t xml:space="preserve">Revenue × Gross Margin.</t>
  </si>
  <si>
    <t xml:space="preserve">ROI (Return on Investment)</t>
  </si>
  <si>
    <t xml:space="preserve">(Gross Profit − Marketing Cost) ÷ Marketing Cost × 100.</t>
  </si>
  <si>
    <t xml:space="preserve">Break-Even Customers</t>
  </si>
  <si>
    <t xml:space="preserve">Marketing Cost ÷ Contribution Margin Per Customer (Monthly Revenue Per Customer × Gross Margin).</t>
  </si>
  <si>
    <t xml:space="preserve">Important Notes</t>
  </si>
  <si>
    <t xml:space="preserve">•</t>
  </si>
  <si>
    <t xml:space="preserve">All figures are hypothetical.</t>
  </si>
  <si>
    <t xml:space="preserve">No actual campaign data has been provided.</t>
  </si>
  <si>
    <t xml:space="preserve">Real results may differ.</t>
  </si>
  <si>
    <t xml:space="preserve">CAC and LTV should be recalculated using real campaign and customer data once available.</t>
  </si>
  <si>
    <t xml:space="preserve">This model was created for internship learning and planning purposes only.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</si>
</sst>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PKR&quot;;\(#,##0&quot;) PKR&quot;;\-"/>
    <numFmt numFmtId="166" formatCode="#,##0;\(#,##0\);\-"/>
    <numFmt numFmtId="167" formatCode="0.00\x"/>
    <numFmt numFmtId="168" formatCode="0.0%"/>
    <numFmt numFmtId="169" formatCode="0.0&quot; mo&quot;"/>
    <numFmt numFmtId="170" formatCode="0.0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3"/>
      <color rgb="FFFFFFFF"/>
      <name val="Calibri"/>
      <family val="0"/>
      <charset val="1"/>
    </font>
    <font>
      <i val="true"/>
      <sz val="9.5"/>
      <color rgb="FFCBD5E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334155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i val="true"/>
      <sz val="11"/>
      <color rgb="FFE2E8F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334155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334155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sz val="10"/>
      <color rgb="FF0D7A4B"/>
      <name val="Calibri"/>
      <family val="0"/>
      <charset val="1"/>
    </font>
    <font>
      <sz val="9"/>
      <color rgb="FF475569"/>
      <name val="Calibri"/>
      <family val="0"/>
      <charset val="1"/>
    </font>
    <font>
      <i val="true"/>
      <sz val="10"/>
      <color rgb="FF334155"/>
      <name val="Calibri"/>
      <family val="0"/>
      <charset val="1"/>
    </font>
    <font>
      <b val="true"/>
      <sz val="10"/>
      <color rgb="FF000000"/>
      <name val="Calibri"/>
      <family val="2"/>
    </font>
    <font>
      <i val="true"/>
      <sz val="8"/>
      <color rgb="FF94A3B8"/>
      <name val="Calibri"/>
      <family val="0"/>
      <charset val="1"/>
    </font>
    <font>
      <sz val="10"/>
      <color rgb="FF1E293B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2563EB"/>
        <bgColor rgb="FF0066CC"/>
      </patternFill>
    </fill>
    <fill>
      <patternFill patternType="solid">
        <fgColor rgb="FF0D9488"/>
        <bgColor rgb="FF0D7A4B"/>
      </patternFill>
    </fill>
    <fill>
      <patternFill patternType="solid">
        <fgColor rgb="FFF1F5F9"/>
        <bgColor rgb="FFF9F9F9"/>
      </patternFill>
    </fill>
    <fill>
      <patternFill patternType="solid">
        <fgColor rgb="FFFFF9DB"/>
        <bgColor rgb="FFF9F9F9"/>
      </patternFill>
    </fill>
    <fill>
      <patternFill patternType="solid">
        <fgColor rgb="FF334155"/>
        <bgColor rgb="FF47556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/>
      <diagonal/>
    </border>
    <border diagonalUp="false" diagonalDown="false"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1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D9D9D9"/>
      <rgbColor rgb="FF878787"/>
      <rgbColor rgb="FF9999FF"/>
      <rgbColor rgb="FFC0504D"/>
      <rgbColor rgb="FFFFF9DB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D7A4B"/>
      <rgbColor rgb="FF0000FF"/>
      <rgbColor rgb="FF00CCFF"/>
      <rgbColor rgb="FFE2E8F0"/>
      <rgbColor rgb="FFF9F9F9"/>
      <rgbColor rgb="FFFFFF99"/>
      <rgbColor rgb="FF99CCFF"/>
      <rgbColor rgb="FFFF99CC"/>
      <rgbColor rgb="FFCC99FF"/>
      <rgbColor rgb="FFFFCC99"/>
      <rgbColor rgb="FF2563EB"/>
      <rgbColor rgb="FF33CCCC"/>
      <rgbColor rgb="FF9BBB59"/>
      <rgbColor rgb="FFFFCC00"/>
      <rgbColor rgb="FFFF9900"/>
      <rgbColor rgb="FFFF6600"/>
      <rgbColor rgb="FF64748B"/>
      <rgbColor rgb="FF94A3B8"/>
      <rgbColor rgb="FF003366"/>
      <rgbColor rgb="FF4F81BD"/>
      <rgbColor rgb="FF0F172A"/>
      <rgbColor rgb="FF475569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Marketing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'Funnel Forecast'!B4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'Funnel Forecast'!$A$5:$A$11</c:f>
              <c:strCache>
                <c:ptCount val="7"/>
                <c:pt idx="0">
                  <c:v>Impressions</c:v>
                </c:pt>
                <c:pt idx="1">
                  <c:v>Clicks</c:v>
                </c:pt>
                <c:pt idx="2">
                  <c:v>Website Visits</c:v>
                </c:pt>
                <c:pt idx="3">
                  <c:v>Leads</c:v>
                </c:pt>
                <c:pt idx="4">
                  <c:v>Qualified Leads</c:v>
                </c:pt>
                <c:pt idx="5">
                  <c:v>Trial/Demo Signups</c:v>
                </c:pt>
                <c:pt idx="6">
                  <c:v>Paying Customers</c:v>
                </c:pt>
              </c:strCache>
            </c:strRef>
          </c:cat>
          <c:val>
            <c:numRef>
              <c:f>'Funnel Forecast'!$B$5:$B$11</c:f>
              <c:numCache>
                <c:formatCode>#,##0;\(#,##0\);\-</c:formatCode>
                <c:ptCount val="7"/>
                <c:pt idx="0">
                  <c:v>455000</c:v>
                </c:pt>
                <c:pt idx="1">
                  <c:v>7600</c:v>
                </c:pt>
                <c:pt idx="2">
                  <c:v>7600</c:v>
                </c:pt>
                <c:pt idx="3">
                  <c:v>760</c:v>
                </c:pt>
                <c:pt idx="4">
                  <c:v>304</c:v>
                </c:pt>
                <c:pt idx="5">
                  <c:v>304</c:v>
                </c:pt>
                <c:pt idx="6">
                  <c:v>60.8</c:v>
                </c:pt>
              </c:numCache>
            </c:numRef>
          </c:val>
        </c:ser>
        <c:gapWidth val="150"/>
        <c:overlap val="0"/>
        <c:axId val="66717500"/>
        <c:axId val="60248040"/>
      </c:barChart>
      <c:catAx>
        <c:axId val="667175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48040"/>
        <c:crosses val="autoZero"/>
        <c:auto val="1"/>
        <c:lblAlgn val="ctr"/>
        <c:lblOffset val="100"/>
        <c:noMultiLvlLbl val="0"/>
      </c:catAx>
      <c:valAx>
        <c:axId val="60248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175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Channel Performance — Customers Acquired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'Input Assumptions'!H25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'Input Assumptions'!$A$26:$A$29</c:f>
              <c:strCache>
                <c:ptCount val="4"/>
                <c:pt idx="0">
                  <c:v>Google Ads</c:v>
                </c:pt>
                <c:pt idx="1">
                  <c:v>LinkedIn Ads</c:v>
                </c:pt>
                <c:pt idx="2">
                  <c:v>Organic Social Media</c:v>
                </c:pt>
                <c:pt idx="3">
                  <c:v>Email Marketing</c:v>
                </c:pt>
              </c:strCache>
            </c:strRef>
          </c:cat>
          <c:val>
            <c:numRef>
              <c:f>'Input Assumptions'!$H$26:$H$29</c:f>
              <c:numCache>
                <c:formatCode>#,##0;\(#,##0\);\-</c:formatCode>
                <c:ptCount val="4"/>
                <c:pt idx="0">
                  <c:v>36</c:v>
                </c:pt>
                <c:pt idx="1">
                  <c:v>4.8</c:v>
                </c:pt>
                <c:pt idx="2">
                  <c:v>16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10152021"/>
        <c:axId val="24253007"/>
      </c:barChart>
      <c:catAx>
        <c:axId val="101520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53007"/>
        <c:crosses val="autoZero"/>
        <c:auto val="1"/>
        <c:lblAlgn val="ctr"/>
        <c:lblOffset val="100"/>
        <c:noMultiLvlLbl val="0"/>
      </c:catAx>
      <c:valAx>
        <c:axId val="24253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520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CAC vs LTV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'CAC &amp; LTV Analysis'!$A$33:$A$34</c:f>
              <c:strCache>
                <c:ptCount val="2"/>
                <c:pt idx="0">
                  <c:v>Blended CAC</c:v>
                </c:pt>
                <c:pt idx="1">
                  <c:v>LTV</c:v>
                </c:pt>
              </c:strCache>
            </c:strRef>
          </c:cat>
          <c:val>
            <c:numRef>
              <c:f>'CAC &amp; LTV Analysis'!$B$33:$B$34</c:f>
              <c:numCache>
                <c:formatCode>#,##0" PKR";\(#,##0") PKR";\-</c:formatCode>
                <c:ptCount val="2"/>
                <c:pt idx="0">
                  <c:v>2467.1052631579</c:v>
                </c:pt>
                <c:pt idx="1">
                  <c:v>43750</c:v>
                </c:pt>
              </c:numCache>
            </c:numRef>
          </c:val>
        </c:ser>
        <c:gapWidth val="150"/>
        <c:overlap val="0"/>
        <c:axId val="84644682"/>
        <c:axId val="54752131"/>
      </c:barChart>
      <c:catAx>
        <c:axId val="846446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52131"/>
        <c:crosses val="autoZero"/>
        <c:auto val="1"/>
        <c:lblAlgn val="ctr"/>
        <c:lblOffset val="100"/>
        <c:noMultiLvlLbl val="0"/>
      </c:catAx>
      <c:valAx>
        <c:axId val="54752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PKR&quot;;\(#,##0&quot;) PKR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446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Conservative / Base / Optimistic — ROI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&amp; Scenario Planning'!$B$22:$D$22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'ROI &amp; Scenario Planning'!$B$29</c:f>
              <c:numCache>
                <c:formatCode>0.0%</c:formatCode>
                <c:ptCount val="1"/>
                <c:pt idx="0">
                  <c:v>-0.503466666666667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&amp; Scenario Planning'!$B$22:$D$22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'ROI &amp; Scenario Planning'!$C$29</c:f>
              <c:numCache>
                <c:formatCode>0.0%</c:formatCode>
                <c:ptCount val="1"/>
                <c:pt idx="0">
                  <c:v>-0.290666666666667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&amp; Scenario Planning'!$B$22:$D$22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'ROI &amp; Scenario Planning'!$D$29</c:f>
              <c:numCache>
                <c:formatCode>0.0%</c:formatCode>
                <c:ptCount val="1"/>
                <c:pt idx="0">
                  <c:v>-0.0778666666666669</c:v>
                </c:pt>
              </c:numCache>
            </c:numRef>
          </c:val>
        </c:ser>
        <c:gapWidth val="150"/>
        <c:overlap val="0"/>
        <c:axId val="41038097"/>
        <c:axId val="98563756"/>
      </c:barChart>
      <c:catAx>
        <c:axId val="410380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63756"/>
        <c:crosses val="autoZero"/>
        <c:auto val="1"/>
        <c:lblAlgn val="ctr"/>
        <c:lblOffset val="100"/>
        <c:noMultiLvlLbl val="0"/>
      </c:catAx>
      <c:valAx>
        <c:axId val="98563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380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Marketing Funnel — Stage Volumes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'Funnel Forecast'!B4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'Funnel Forecast'!$A$5:$A$11</c:f>
              <c:strCache>
                <c:ptCount val="7"/>
                <c:pt idx="0">
                  <c:v>Impressions</c:v>
                </c:pt>
                <c:pt idx="1">
                  <c:v>Clicks</c:v>
                </c:pt>
                <c:pt idx="2">
                  <c:v>Website Visits</c:v>
                </c:pt>
                <c:pt idx="3">
                  <c:v>Leads</c:v>
                </c:pt>
                <c:pt idx="4">
                  <c:v>Qualified Leads</c:v>
                </c:pt>
                <c:pt idx="5">
                  <c:v>Trial/Demo Signups</c:v>
                </c:pt>
                <c:pt idx="6">
                  <c:v>Paying Customers</c:v>
                </c:pt>
              </c:strCache>
            </c:strRef>
          </c:cat>
          <c:val>
            <c:numRef>
              <c:f>'Funnel Forecast'!$B$5:$B$11</c:f>
              <c:numCache>
                <c:formatCode>#,##0;\(#,##0\);\-</c:formatCode>
                <c:ptCount val="7"/>
                <c:pt idx="0">
                  <c:v>455000</c:v>
                </c:pt>
                <c:pt idx="1">
                  <c:v>7600</c:v>
                </c:pt>
                <c:pt idx="2">
                  <c:v>7600</c:v>
                </c:pt>
                <c:pt idx="3">
                  <c:v>760</c:v>
                </c:pt>
                <c:pt idx="4">
                  <c:v>304</c:v>
                </c:pt>
                <c:pt idx="5">
                  <c:v>304</c:v>
                </c:pt>
                <c:pt idx="6">
                  <c:v>60.8</c:v>
                </c:pt>
              </c:numCache>
            </c:numRef>
          </c:val>
        </c:ser>
        <c:gapWidth val="150"/>
        <c:overlap val="0"/>
        <c:axId val="46312235"/>
        <c:axId val="27451033"/>
      </c:barChart>
      <c:catAx>
        <c:axId val="4631223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51033"/>
        <c:crosses val="autoZero"/>
        <c:auto val="1"/>
        <c:lblAlgn val="ctr"/>
        <c:lblOffset val="100"/>
        <c:noMultiLvlLbl val="0"/>
      </c:catAx>
      <c:valAx>
        <c:axId val="27451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122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Blended CAC vs LTV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'CAC &amp; LTV Analysis'!$A$33:$A$34</c:f>
              <c:strCache>
                <c:ptCount val="2"/>
                <c:pt idx="0">
                  <c:v>Blended CAC</c:v>
                </c:pt>
                <c:pt idx="1">
                  <c:v>LTV</c:v>
                </c:pt>
              </c:strCache>
            </c:strRef>
          </c:cat>
          <c:val>
            <c:numRef>
              <c:f>'CAC &amp; LTV Analysis'!$B$33:$B$34</c:f>
              <c:numCache>
                <c:formatCode>#,##0" PKR";\(#,##0") PKR";\-</c:formatCode>
                <c:ptCount val="2"/>
                <c:pt idx="0">
                  <c:v>2467.1052631579</c:v>
                </c:pt>
                <c:pt idx="1">
                  <c:v>43750</c:v>
                </c:pt>
              </c:numCache>
            </c:numRef>
          </c:val>
        </c:ser>
        <c:gapWidth val="150"/>
        <c:overlap val="0"/>
        <c:axId val="11257272"/>
        <c:axId val="38702820"/>
      </c:barChart>
      <c:catAx>
        <c:axId val="1125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02820"/>
        <c:crosses val="autoZero"/>
        <c:auto val="1"/>
        <c:lblAlgn val="ctr"/>
        <c:lblOffset val="100"/>
        <c:noMultiLvlLbl val="0"/>
      </c:catAx>
      <c:valAx>
        <c:axId val="387028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PKR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PKR&quot;;\(#,##0&quot;) PKR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572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Scenario Comparison — ROI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&amp; Scenario Planning'!$B$22:$D$22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'ROI &amp; Scenario Planning'!$B$29</c:f>
              <c:numCache>
                <c:formatCode>0.0%</c:formatCode>
                <c:ptCount val="1"/>
                <c:pt idx="0">
                  <c:v>-0.503466666666667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&amp; Scenario Planning'!$B$22:$D$22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'ROI &amp; Scenario Planning'!$C$29</c:f>
              <c:numCache>
                <c:formatCode>0.0%</c:formatCode>
                <c:ptCount val="1"/>
                <c:pt idx="0">
                  <c:v>-0.290666666666667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&amp; Scenario Planning'!$B$22:$D$22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'ROI &amp; Scenario Planning'!$D$29</c:f>
              <c:numCache>
                <c:formatCode>0.0%</c:formatCode>
                <c:ptCount val="1"/>
                <c:pt idx="0">
                  <c:v>-0.0778666666666669</c:v>
                </c:pt>
              </c:numCache>
            </c:numRef>
          </c:val>
        </c:ser>
        <c:gapWidth val="150"/>
        <c:overlap val="0"/>
        <c:axId val="23352926"/>
        <c:axId val="35863692"/>
      </c:barChart>
      <c:catAx>
        <c:axId val="233529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63692"/>
        <c:crosses val="autoZero"/>
        <c:auto val="1"/>
        <c:lblAlgn val="ctr"/>
        <c:lblOffset val="100"/>
        <c:noMultiLvlLbl val="0"/>
      </c:catAx>
      <c:valAx>
        <c:axId val="35863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ROI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529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5</xdr:col>
      <xdr:colOff>480960</xdr:colOff>
      <xdr:row>38</xdr:row>
      <xdr:rowOff>1080</xdr:rowOff>
    </xdr:to>
    <xdr:graphicFrame>
      <xdr:nvGraphicFramePr>
        <xdr:cNvPr id="0" name="Chart 1"/>
        <xdr:cNvGraphicFramePr/>
      </xdr:nvGraphicFramePr>
      <xdr:xfrm>
        <a:off x="0" y="41623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11</xdr:col>
      <xdr:colOff>480960</xdr:colOff>
      <xdr:row>38</xdr:row>
      <xdr:rowOff>1080</xdr:rowOff>
    </xdr:to>
    <xdr:graphicFrame>
      <xdr:nvGraphicFramePr>
        <xdr:cNvPr id="1" name="Chart 2"/>
        <xdr:cNvGraphicFramePr/>
      </xdr:nvGraphicFramePr>
      <xdr:xfrm>
        <a:off x="6766560" y="41623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5</xdr:col>
      <xdr:colOff>480960</xdr:colOff>
      <xdr:row>57</xdr:row>
      <xdr:rowOff>1080</xdr:rowOff>
    </xdr:to>
    <xdr:graphicFrame>
      <xdr:nvGraphicFramePr>
        <xdr:cNvPr id="2" name="Chart 3"/>
        <xdr:cNvGraphicFramePr/>
      </xdr:nvGraphicFramePr>
      <xdr:xfrm>
        <a:off x="0" y="77817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40</xdr:row>
      <xdr:rowOff>0</xdr:rowOff>
    </xdr:from>
    <xdr:to>
      <xdr:col>11</xdr:col>
      <xdr:colOff>480960</xdr:colOff>
      <xdr:row>57</xdr:row>
      <xdr:rowOff>1080</xdr:rowOff>
    </xdr:to>
    <xdr:graphicFrame>
      <xdr:nvGraphicFramePr>
        <xdr:cNvPr id="3" name="Chart 4"/>
        <xdr:cNvGraphicFramePr/>
      </xdr:nvGraphicFramePr>
      <xdr:xfrm>
        <a:off x="6766560" y="77817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364680</xdr:colOff>
      <xdr:row>14</xdr:row>
      <xdr:rowOff>38880</xdr:rowOff>
    </xdr:to>
    <xdr:graphicFrame>
      <xdr:nvGraphicFramePr>
        <xdr:cNvPr id="4" name="Chart 1"/>
        <xdr:cNvGraphicFramePr/>
      </xdr:nvGraphicFramePr>
      <xdr:xfrm>
        <a:off x="822384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13</xdr:col>
      <xdr:colOff>38880</xdr:colOff>
      <xdr:row>17</xdr:row>
      <xdr:rowOff>153000</xdr:rowOff>
    </xdr:to>
    <xdr:graphicFrame>
      <xdr:nvGraphicFramePr>
        <xdr:cNvPr id="5" name="Chart 1"/>
        <xdr:cNvGraphicFramePr/>
      </xdr:nvGraphicFramePr>
      <xdr:xfrm>
        <a:off x="709596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14</xdr:col>
      <xdr:colOff>147600</xdr:colOff>
      <xdr:row>17</xdr:row>
      <xdr:rowOff>153000</xdr:rowOff>
    </xdr:to>
    <xdr:graphicFrame>
      <xdr:nvGraphicFramePr>
        <xdr:cNvPr id="6" name="Chart 1"/>
        <xdr:cNvGraphicFramePr/>
      </xdr:nvGraphicFramePr>
      <xdr:xfrm>
        <a:off x="751896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true"/>
  </sheetPr>
  <dimension ref="A1:L1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7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true" outlineLevel="0" collapsed="false">
      <c r="A6" s="4" t="s">
        <v>3</v>
      </c>
      <c r="B6" s="4"/>
      <c r="C6" s="4"/>
      <c r="D6" s="4"/>
      <c r="E6" s="5" t="s">
        <v>4</v>
      </c>
      <c r="F6" s="5"/>
      <c r="G6" s="5"/>
      <c r="H6" s="5"/>
      <c r="I6" s="5" t="s">
        <v>5</v>
      </c>
      <c r="J6" s="5"/>
      <c r="K6" s="5"/>
      <c r="L6" s="5"/>
    </row>
    <row r="7" customFormat="false" ht="15" hidden="false" customHeight="false" outlineLevel="0" collapsed="false">
      <c r="A7" s="6" t="n">
        <f aca="false">'Input Assumptions'!B6</f>
        <v>150000</v>
      </c>
      <c r="B7" s="6"/>
      <c r="C7" s="6"/>
      <c r="D7" s="6"/>
      <c r="E7" s="7" t="n">
        <f aca="false">'Input Assumptions'!F30</f>
        <v>760</v>
      </c>
      <c r="F7" s="7"/>
      <c r="G7" s="7"/>
      <c r="H7" s="7"/>
      <c r="I7" s="7" t="n">
        <f aca="false">'Input Assumptions'!G30</f>
        <v>304</v>
      </c>
      <c r="J7" s="7"/>
      <c r="K7" s="7"/>
      <c r="L7" s="7"/>
    </row>
    <row r="8" customFormat="false" ht="15" hidden="false" customHeight="false" outlineLevel="0" collapsed="false">
      <c r="A8" s="6"/>
      <c r="B8" s="6"/>
      <c r="C8" s="6"/>
      <c r="D8" s="6"/>
      <c r="E8" s="7"/>
      <c r="F8" s="7"/>
      <c r="G8" s="7"/>
      <c r="H8" s="7"/>
      <c r="I8" s="7"/>
      <c r="J8" s="7"/>
      <c r="K8" s="7"/>
      <c r="L8" s="7"/>
    </row>
    <row r="9" customFormat="false" ht="15" hidden="false" customHeight="false" outlineLevel="0" collapsed="false">
      <c r="A9" s="6"/>
      <c r="B9" s="6"/>
      <c r="C9" s="6"/>
      <c r="D9" s="6"/>
      <c r="E9" s="7"/>
      <c r="F9" s="7"/>
      <c r="G9" s="7"/>
      <c r="H9" s="7"/>
      <c r="I9" s="7"/>
      <c r="J9" s="7"/>
      <c r="K9" s="7"/>
      <c r="L9" s="7"/>
    </row>
    <row r="11" customFormat="false" ht="15" hidden="false" customHeight="true" outlineLevel="0" collapsed="false">
      <c r="A11" s="5" t="s">
        <v>6</v>
      </c>
      <c r="B11" s="5"/>
      <c r="C11" s="5"/>
      <c r="D11" s="5"/>
      <c r="E11" s="4" t="s">
        <v>7</v>
      </c>
      <c r="F11" s="4"/>
      <c r="G11" s="4"/>
      <c r="H11" s="4"/>
      <c r="I11" s="4" t="s">
        <v>8</v>
      </c>
      <c r="J11" s="4"/>
      <c r="K11" s="4"/>
      <c r="L11" s="4"/>
    </row>
    <row r="12" customFormat="false" ht="15" hidden="false" customHeight="false" outlineLevel="0" collapsed="false">
      <c r="A12" s="7" t="n">
        <f aca="false">'ROI &amp; Scenario Planning'!B6</f>
        <v>60.8</v>
      </c>
      <c r="B12" s="7"/>
      <c r="C12" s="7"/>
      <c r="D12" s="7"/>
      <c r="E12" s="6" t="n">
        <f aca="false">'ROI &amp; Scenario Planning'!B7</f>
        <v>2467.1052631579</v>
      </c>
      <c r="F12" s="6"/>
      <c r="G12" s="6"/>
      <c r="H12" s="6"/>
      <c r="I12" s="6" t="n">
        <f aca="false">'ROI &amp; Scenario Planning'!B14</f>
        <v>43750</v>
      </c>
      <c r="J12" s="6"/>
      <c r="K12" s="6"/>
      <c r="L12" s="6"/>
    </row>
    <row r="13" customFormat="false" ht="15" hidden="false" customHeight="false" outlineLevel="0" collapsed="false">
      <c r="A13" s="7"/>
      <c r="B13" s="7"/>
      <c r="C13" s="7"/>
      <c r="D13" s="7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false" outlineLevel="0" collapsed="false">
      <c r="A14" s="7"/>
      <c r="B14" s="7"/>
      <c r="C14" s="7"/>
      <c r="D14" s="7"/>
      <c r="E14" s="6"/>
      <c r="F14" s="6"/>
      <c r="G14" s="6"/>
      <c r="H14" s="6"/>
      <c r="I14" s="6"/>
      <c r="J14" s="6"/>
      <c r="K14" s="6"/>
      <c r="L14" s="6"/>
    </row>
    <row r="16" customFormat="false" ht="15" hidden="false" customHeight="true" outlineLevel="0" collapsed="false">
      <c r="A16" s="8" t="s">
        <v>9</v>
      </c>
      <c r="B16" s="8"/>
      <c r="C16" s="8"/>
      <c r="D16" s="8"/>
      <c r="E16" s="4" t="s">
        <v>10</v>
      </c>
      <c r="F16" s="4"/>
      <c r="G16" s="4"/>
      <c r="H16" s="4"/>
      <c r="I16" s="8" t="s">
        <v>11</v>
      </c>
      <c r="J16" s="8"/>
      <c r="K16" s="8"/>
      <c r="L16" s="8"/>
    </row>
    <row r="17" customFormat="false" ht="15" hidden="false" customHeight="false" outlineLevel="0" collapsed="false">
      <c r="A17" s="9" t="n">
        <f aca="false">'ROI &amp; Scenario Planning'!B15</f>
        <v>17.7333333333333</v>
      </c>
      <c r="B17" s="9"/>
      <c r="C17" s="9"/>
      <c r="D17" s="9"/>
      <c r="E17" s="6" t="n">
        <f aca="false">'ROI &amp; Scenario Planning'!B9</f>
        <v>152000</v>
      </c>
      <c r="F17" s="6"/>
      <c r="G17" s="6"/>
      <c r="H17" s="6"/>
      <c r="I17" s="10" t="n">
        <f aca="false">'ROI &amp; Scenario Planning'!B13</f>
        <v>-0.290666666666667</v>
      </c>
      <c r="J17" s="10"/>
      <c r="K17" s="10"/>
      <c r="L17" s="10"/>
    </row>
    <row r="18" customFormat="false" ht="15" hidden="false" customHeight="false" outlineLevel="0" collapsed="false">
      <c r="A18" s="9"/>
      <c r="B18" s="9"/>
      <c r="C18" s="9"/>
      <c r="D18" s="9"/>
      <c r="E18" s="6"/>
      <c r="F18" s="6"/>
      <c r="G18" s="6"/>
      <c r="H18" s="6"/>
      <c r="I18" s="10"/>
      <c r="J18" s="10"/>
      <c r="K18" s="10"/>
      <c r="L18" s="10"/>
    </row>
    <row r="19" customFormat="false" ht="15" hidden="false" customHeight="false" outlineLevel="0" collapsed="false">
      <c r="A19" s="9"/>
      <c r="B19" s="9"/>
      <c r="C19" s="9"/>
      <c r="D19" s="9"/>
      <c r="E19" s="6"/>
      <c r="F19" s="6"/>
      <c r="G19" s="6"/>
      <c r="H19" s="6"/>
      <c r="I19" s="10"/>
      <c r="J19" s="10"/>
      <c r="K19" s="10"/>
      <c r="L19" s="10"/>
    </row>
  </sheetData>
  <mergeCells count="21">
    <mergeCell ref="A1:L2"/>
    <mergeCell ref="A3:L3"/>
    <mergeCell ref="A4:L4"/>
    <mergeCell ref="A6:D6"/>
    <mergeCell ref="E6:H6"/>
    <mergeCell ref="I6:L6"/>
    <mergeCell ref="A7:D9"/>
    <mergeCell ref="E7:H9"/>
    <mergeCell ref="I7:L9"/>
    <mergeCell ref="A11:D11"/>
    <mergeCell ref="E11:H11"/>
    <mergeCell ref="I11:L11"/>
    <mergeCell ref="A12:D14"/>
    <mergeCell ref="E12:H14"/>
    <mergeCell ref="I12:L14"/>
    <mergeCell ref="A16:D16"/>
    <mergeCell ref="E16:H16"/>
    <mergeCell ref="I16:L16"/>
    <mergeCell ref="A17:D19"/>
    <mergeCell ref="E17:H19"/>
    <mergeCell ref="I17:L1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1" t="s">
        <v>12</v>
      </c>
      <c r="B1" s="11"/>
      <c r="C1" s="11"/>
      <c r="D1" s="11"/>
      <c r="E1" s="11"/>
      <c r="F1" s="11"/>
      <c r="G1" s="11"/>
      <c r="H1" s="11"/>
    </row>
    <row r="2" customFormat="false" ht="18" hidden="false" customHeight="true" outlineLevel="0" collapsed="false">
      <c r="A2" s="12" t="s">
        <v>13</v>
      </c>
      <c r="B2" s="12"/>
      <c r="C2" s="12"/>
      <c r="D2" s="12"/>
      <c r="E2" s="12"/>
      <c r="F2" s="12"/>
      <c r="G2" s="12"/>
      <c r="H2" s="12"/>
    </row>
    <row r="4" customFormat="false" ht="15" hidden="false" customHeight="false" outlineLevel="0" collapsed="false">
      <c r="A4" s="13" t="s">
        <v>14</v>
      </c>
      <c r="B4" s="13"/>
      <c r="C4" s="13"/>
    </row>
    <row r="5" customFormat="false" ht="15" hidden="false" customHeight="false" outlineLevel="0" collapsed="false">
      <c r="A5" s="14" t="s">
        <v>15</v>
      </c>
      <c r="B5" s="15" t="n">
        <v>30</v>
      </c>
    </row>
    <row r="6" customFormat="false" ht="15" hidden="false" customHeight="false" outlineLevel="0" collapsed="false">
      <c r="A6" s="14" t="s">
        <v>16</v>
      </c>
      <c r="B6" s="16" t="n">
        <v>150000</v>
      </c>
    </row>
    <row r="7" customFormat="false" ht="15" hidden="false" customHeight="false" outlineLevel="0" collapsed="false">
      <c r="A7" s="14" t="s">
        <v>17</v>
      </c>
      <c r="B7" s="17" t="s">
        <v>18</v>
      </c>
    </row>
    <row r="8" customFormat="false" ht="15" hidden="false" customHeight="false" outlineLevel="0" collapsed="false">
      <c r="A8" s="14" t="s">
        <v>19</v>
      </c>
      <c r="B8" s="16" t="n">
        <v>2500</v>
      </c>
    </row>
    <row r="9" customFormat="false" ht="15" hidden="false" customHeight="false" outlineLevel="0" collapsed="false">
      <c r="A9" s="14" t="s">
        <v>20</v>
      </c>
      <c r="B9" s="18" t="n">
        <v>0.04</v>
      </c>
    </row>
    <row r="10" customFormat="false" ht="15" hidden="false" customHeight="false" outlineLevel="0" collapsed="false">
      <c r="A10" s="14" t="s">
        <v>21</v>
      </c>
      <c r="B10" s="19" t="n">
        <f aca="false">1/B9</f>
        <v>25</v>
      </c>
    </row>
    <row r="11" customFormat="false" ht="15" hidden="false" customHeight="false" outlineLevel="0" collapsed="false">
      <c r="A11" s="14" t="s">
        <v>22</v>
      </c>
      <c r="B11" s="18" t="n">
        <v>0.7</v>
      </c>
    </row>
    <row r="12" customFormat="false" ht="15" hidden="false" customHeight="false" outlineLevel="0" collapsed="false">
      <c r="A12" s="14" t="s">
        <v>23</v>
      </c>
      <c r="B12" s="18" t="n">
        <v>0.1</v>
      </c>
    </row>
    <row r="13" customFormat="false" ht="15" hidden="false" customHeight="false" outlineLevel="0" collapsed="false">
      <c r="A13" s="14" t="s">
        <v>24</v>
      </c>
      <c r="B13" s="18" t="n">
        <v>0.4</v>
      </c>
    </row>
    <row r="14" customFormat="false" ht="15" hidden="false" customHeight="false" outlineLevel="0" collapsed="false">
      <c r="A14" s="14" t="s">
        <v>25</v>
      </c>
      <c r="B14" s="18" t="n">
        <v>0.2</v>
      </c>
    </row>
    <row r="16" customFormat="false" ht="15" hidden="false" customHeight="false" outlineLevel="0" collapsed="false">
      <c r="A16" s="13" t="s">
        <v>26</v>
      </c>
      <c r="B16" s="13"/>
      <c r="C16" s="13"/>
    </row>
    <row r="17" customFormat="false" ht="15" hidden="false" customHeight="false" outlineLevel="0" collapsed="false">
      <c r="A17" s="20" t="s">
        <v>27</v>
      </c>
      <c r="B17" s="20" t="s">
        <v>28</v>
      </c>
      <c r="C17" s="20" t="s">
        <v>29</v>
      </c>
    </row>
    <row r="18" customFormat="false" ht="15" hidden="false" customHeight="false" outlineLevel="0" collapsed="false">
      <c r="A18" s="14" t="s">
        <v>30</v>
      </c>
      <c r="B18" s="18" t="n">
        <v>0.4</v>
      </c>
      <c r="C18" s="21" t="n">
        <f aca="false">B18*$B$6</f>
        <v>60000</v>
      </c>
    </row>
    <row r="19" customFormat="false" ht="15" hidden="false" customHeight="false" outlineLevel="0" collapsed="false">
      <c r="A19" s="14" t="s">
        <v>31</v>
      </c>
      <c r="B19" s="18" t="n">
        <v>0.35</v>
      </c>
      <c r="C19" s="21" t="n">
        <f aca="false">B19*$B$6</f>
        <v>52500</v>
      </c>
    </row>
    <row r="20" customFormat="false" ht="15" hidden="false" customHeight="false" outlineLevel="0" collapsed="false">
      <c r="A20" s="14" t="s">
        <v>32</v>
      </c>
      <c r="B20" s="18" t="n">
        <v>0.15</v>
      </c>
      <c r="C20" s="21" t="n">
        <f aca="false">B20*$B$6</f>
        <v>22500</v>
      </c>
    </row>
    <row r="21" customFormat="false" ht="15" hidden="false" customHeight="false" outlineLevel="0" collapsed="false">
      <c r="A21" s="14" t="s">
        <v>33</v>
      </c>
      <c r="B21" s="18" t="n">
        <v>0.1</v>
      </c>
      <c r="C21" s="21" t="n">
        <f aca="false">B21*$B$6</f>
        <v>15000</v>
      </c>
    </row>
    <row r="22" customFormat="false" ht="15" hidden="false" customHeight="false" outlineLevel="0" collapsed="false">
      <c r="A22" s="22" t="s">
        <v>34</v>
      </c>
      <c r="B22" s="23" t="n">
        <f aca="false">SUM(B18:B21)</f>
        <v>1</v>
      </c>
      <c r="C22" s="24" t="n">
        <f aca="false">SUM(C18:C21)</f>
        <v>150000</v>
      </c>
    </row>
    <row r="24" customFormat="false" ht="15" hidden="false" customHeight="false" outlineLevel="0" collapsed="false">
      <c r="A24" s="13" t="s">
        <v>35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20" t="s">
        <v>27</v>
      </c>
      <c r="B25" s="20" t="s">
        <v>29</v>
      </c>
      <c r="C25" s="20" t="s">
        <v>36</v>
      </c>
      <c r="D25" s="20" t="s">
        <v>37</v>
      </c>
      <c r="E25" s="20" t="s">
        <v>38</v>
      </c>
      <c r="F25" s="20" t="s">
        <v>39</v>
      </c>
      <c r="G25" s="20" t="s">
        <v>5</v>
      </c>
      <c r="H25" s="20" t="s">
        <v>40</v>
      </c>
    </row>
    <row r="26" customFormat="false" ht="15" hidden="false" customHeight="false" outlineLevel="0" collapsed="false">
      <c r="A26" s="14" t="s">
        <v>30</v>
      </c>
      <c r="B26" s="21" t="n">
        <f aca="false">C18</f>
        <v>60000</v>
      </c>
      <c r="C26" s="15" t="n">
        <v>150000</v>
      </c>
      <c r="D26" s="25" t="n">
        <v>0.03</v>
      </c>
      <c r="E26" s="26" t="n">
        <f aca="false">C26*D26</f>
        <v>4500</v>
      </c>
      <c r="F26" s="26" t="n">
        <f aca="false">E26*$B$12</f>
        <v>450</v>
      </c>
      <c r="G26" s="26" t="n">
        <f aca="false">F26*$B$13</f>
        <v>180</v>
      </c>
      <c r="H26" s="26" t="n">
        <f aca="false">G26*$B$14</f>
        <v>36</v>
      </c>
    </row>
    <row r="27" customFormat="false" ht="15" hidden="false" customHeight="false" outlineLevel="0" collapsed="false">
      <c r="A27" s="14" t="s">
        <v>31</v>
      </c>
      <c r="B27" s="21" t="n">
        <f aca="false">C19</f>
        <v>52500</v>
      </c>
      <c r="C27" s="15" t="n">
        <v>100000</v>
      </c>
      <c r="D27" s="25" t="n">
        <v>0.006</v>
      </c>
      <c r="E27" s="26" t="n">
        <f aca="false">C27*D27</f>
        <v>600</v>
      </c>
      <c r="F27" s="26" t="n">
        <f aca="false">E27*$B$12</f>
        <v>60</v>
      </c>
      <c r="G27" s="26" t="n">
        <f aca="false">F27*$B$13</f>
        <v>24</v>
      </c>
      <c r="H27" s="26" t="n">
        <f aca="false">G27*$B$14</f>
        <v>4.8</v>
      </c>
    </row>
    <row r="28" customFormat="false" ht="15" hidden="false" customHeight="false" outlineLevel="0" collapsed="false">
      <c r="A28" s="14" t="s">
        <v>32</v>
      </c>
      <c r="B28" s="21" t="n">
        <f aca="false">C20</f>
        <v>22500</v>
      </c>
      <c r="C28" s="15" t="n">
        <v>200000</v>
      </c>
      <c r="D28" s="25" t="n">
        <v>0.01</v>
      </c>
      <c r="E28" s="26" t="n">
        <f aca="false">C28*D28</f>
        <v>2000</v>
      </c>
      <c r="F28" s="26" t="n">
        <f aca="false">E28*$B$12</f>
        <v>200</v>
      </c>
      <c r="G28" s="26" t="n">
        <f aca="false">F28*$B$13</f>
        <v>80</v>
      </c>
      <c r="H28" s="26" t="n">
        <f aca="false">G28*$B$14</f>
        <v>16</v>
      </c>
    </row>
    <row r="29" customFormat="false" ht="15" hidden="false" customHeight="false" outlineLevel="0" collapsed="false">
      <c r="A29" s="14" t="s">
        <v>33</v>
      </c>
      <c r="B29" s="21" t="n">
        <f aca="false">C21</f>
        <v>15000</v>
      </c>
      <c r="C29" s="15" t="n">
        <v>5000</v>
      </c>
      <c r="D29" s="25" t="n">
        <v>0.1</v>
      </c>
      <c r="E29" s="26" t="n">
        <f aca="false">C29*D29</f>
        <v>500</v>
      </c>
      <c r="F29" s="26" t="n">
        <f aca="false">E29*$B$12</f>
        <v>50</v>
      </c>
      <c r="G29" s="26" t="n">
        <f aca="false">F29*$B$13</f>
        <v>20</v>
      </c>
      <c r="H29" s="26" t="n">
        <f aca="false">G29*$B$14</f>
        <v>4</v>
      </c>
    </row>
    <row r="30" customFormat="false" ht="15" hidden="false" customHeight="false" outlineLevel="0" collapsed="false">
      <c r="A30" s="22" t="s">
        <v>34</v>
      </c>
      <c r="B30" s="24" t="n">
        <f aca="false">SUM(B26:B29)</f>
        <v>150000</v>
      </c>
      <c r="C30" s="27" t="n">
        <f aca="false">SUM(C26:C29)</f>
        <v>455000</v>
      </c>
      <c r="D30" s="28" t="n">
        <f aca="false">IFERROR(E30/C30,0)</f>
        <v>0.0167032967032967</v>
      </c>
      <c r="E30" s="27" t="n">
        <f aca="false">SUM(E26:E29)</f>
        <v>7600</v>
      </c>
      <c r="F30" s="27" t="n">
        <f aca="false">SUM(F26:F29)</f>
        <v>760</v>
      </c>
      <c r="G30" s="27" t="n">
        <f aca="false">SUM(G26:G29)</f>
        <v>304</v>
      </c>
      <c r="H30" s="27" t="n">
        <f aca="false">SUM(H26:H29)</f>
        <v>60.8</v>
      </c>
    </row>
    <row r="32" customFormat="false" ht="15" hidden="false" customHeight="true" outlineLevel="0" collapsed="false">
      <c r="A32" s="29" t="s">
        <v>41</v>
      </c>
      <c r="B32" s="29"/>
      <c r="C32" s="29"/>
      <c r="D32" s="29"/>
      <c r="E32" s="29"/>
      <c r="F32" s="29"/>
      <c r="G32" s="29"/>
      <c r="H32" s="29"/>
    </row>
    <row r="33" customFormat="false" ht="15" hidden="false" customHeight="true" outlineLevel="0" collapsed="false">
      <c r="A33" s="29" t="s">
        <v>42</v>
      </c>
      <c r="B33" s="29"/>
      <c r="C33" s="29"/>
      <c r="D33" s="29"/>
      <c r="E33" s="29"/>
      <c r="F33" s="29"/>
      <c r="G33" s="29"/>
      <c r="H33" s="29"/>
    </row>
  </sheetData>
  <mergeCells count="7">
    <mergeCell ref="A1:H1"/>
    <mergeCell ref="A2:H2"/>
    <mergeCell ref="A4:C4"/>
    <mergeCell ref="A16:C16"/>
    <mergeCell ref="A24:H24"/>
    <mergeCell ref="A32:H32"/>
    <mergeCell ref="A33:H3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1" t="s">
        <v>43</v>
      </c>
      <c r="B1" s="11"/>
      <c r="C1" s="11"/>
      <c r="D1" s="11"/>
    </row>
    <row r="2" customFormat="false" ht="15" hidden="false" customHeight="false" outlineLevel="0" collapsed="false">
      <c r="A2" s="12" t="s">
        <v>44</v>
      </c>
      <c r="B2" s="12"/>
      <c r="C2" s="12"/>
      <c r="D2" s="12"/>
    </row>
    <row r="4" customFormat="false" ht="23.85" hidden="false" customHeight="false" outlineLevel="0" collapsed="false">
      <c r="A4" s="20" t="s">
        <v>45</v>
      </c>
      <c r="B4" s="20" t="s">
        <v>46</v>
      </c>
      <c r="C4" s="20" t="s">
        <v>47</v>
      </c>
      <c r="D4" s="20" t="s">
        <v>48</v>
      </c>
    </row>
    <row r="5" customFormat="false" ht="25.5" hidden="false" customHeight="true" outlineLevel="0" collapsed="false">
      <c r="A5" s="22" t="s">
        <v>36</v>
      </c>
      <c r="B5" s="30" t="n">
        <f aca="false">'Input Assumptions'!C30</f>
        <v>455000</v>
      </c>
      <c r="C5" s="31" t="s">
        <v>49</v>
      </c>
      <c r="D5" s="32" t="s">
        <v>50</v>
      </c>
    </row>
    <row r="6" customFormat="false" ht="25.5" hidden="false" customHeight="true" outlineLevel="0" collapsed="false">
      <c r="A6" s="22" t="s">
        <v>38</v>
      </c>
      <c r="B6" s="30" t="n">
        <f aca="false">'Input Assumptions'!E30</f>
        <v>7600</v>
      </c>
      <c r="C6" s="31" t="n">
        <f aca="false">IFERROR(B6/B5,0)</f>
        <v>0.0167032967032967</v>
      </c>
      <c r="D6" s="32" t="s">
        <v>51</v>
      </c>
    </row>
    <row r="7" customFormat="false" ht="25.5" hidden="false" customHeight="true" outlineLevel="0" collapsed="false">
      <c r="A7" s="22" t="s">
        <v>52</v>
      </c>
      <c r="B7" s="26" t="n">
        <f aca="false">B6</f>
        <v>7600</v>
      </c>
      <c r="C7" s="31" t="n">
        <f aca="false">IFERROR(B7/B6,0)</f>
        <v>1</v>
      </c>
      <c r="D7" s="32" t="s">
        <v>53</v>
      </c>
    </row>
    <row r="8" customFormat="false" ht="25.5" hidden="false" customHeight="true" outlineLevel="0" collapsed="false">
      <c r="A8" s="22" t="s">
        <v>39</v>
      </c>
      <c r="B8" s="30" t="n">
        <f aca="false">'Input Assumptions'!F30</f>
        <v>760</v>
      </c>
      <c r="C8" s="31" t="n">
        <f aca="false">IFERROR(B8/B7,0)</f>
        <v>0.1</v>
      </c>
      <c r="D8" s="32" t="s">
        <v>54</v>
      </c>
    </row>
    <row r="9" customFormat="false" ht="25.5" hidden="false" customHeight="true" outlineLevel="0" collapsed="false">
      <c r="A9" s="22" t="s">
        <v>5</v>
      </c>
      <c r="B9" s="30" t="n">
        <f aca="false">'Input Assumptions'!G30</f>
        <v>304</v>
      </c>
      <c r="C9" s="31" t="n">
        <f aca="false">IFERROR(B9/B8,0)</f>
        <v>0.4</v>
      </c>
      <c r="D9" s="32" t="s">
        <v>55</v>
      </c>
    </row>
    <row r="10" customFormat="false" ht="25.5" hidden="false" customHeight="true" outlineLevel="0" collapsed="false">
      <c r="A10" s="22" t="s">
        <v>56</v>
      </c>
      <c r="B10" s="26" t="n">
        <f aca="false">B9</f>
        <v>304</v>
      </c>
      <c r="C10" s="31" t="n">
        <f aca="false">IFERROR(B10/B9,0)</f>
        <v>1</v>
      </c>
      <c r="D10" s="32" t="s">
        <v>57</v>
      </c>
    </row>
    <row r="11" customFormat="false" ht="25.5" hidden="false" customHeight="true" outlineLevel="0" collapsed="false">
      <c r="A11" s="22" t="s">
        <v>58</v>
      </c>
      <c r="B11" s="30" t="n">
        <f aca="false">'Input Assumptions'!H30</f>
        <v>60.8</v>
      </c>
      <c r="C11" s="31" t="n">
        <f aca="false">IFERROR(B11/B10,0)</f>
        <v>0.2</v>
      </c>
      <c r="D11" s="32" t="s">
        <v>59</v>
      </c>
    </row>
    <row r="13" customFormat="false" ht="15" hidden="false" customHeight="false" outlineLevel="0" collapsed="false">
      <c r="A13" s="13" t="s">
        <v>60</v>
      </c>
      <c r="B13" s="13"/>
      <c r="C13" s="13"/>
      <c r="D13" s="13"/>
    </row>
    <row r="14" customFormat="false" ht="15" hidden="false" customHeight="true" outlineLevel="0" collapsed="false">
      <c r="A14" s="33" t="s">
        <v>61</v>
      </c>
      <c r="B14" s="33"/>
      <c r="C14" s="33"/>
      <c r="D14" s="33"/>
    </row>
    <row r="15" customFormat="false" ht="15" hidden="false" customHeight="false" outlineLevel="0" collapsed="false">
      <c r="A15" s="33"/>
      <c r="B15" s="33"/>
      <c r="C15" s="33"/>
      <c r="D15" s="33"/>
    </row>
    <row r="16" customFormat="false" ht="15" hidden="false" customHeight="false" outlineLevel="0" collapsed="false">
      <c r="A16" s="33"/>
      <c r="B16" s="33"/>
      <c r="C16" s="33"/>
      <c r="D16" s="33"/>
    </row>
    <row r="17" customFormat="false" ht="15" hidden="false" customHeight="false" outlineLevel="0" collapsed="false">
      <c r="A17" s="33"/>
      <c r="B17" s="33"/>
      <c r="C17" s="33"/>
      <c r="D17" s="33"/>
    </row>
    <row r="18" customFormat="false" ht="15" hidden="false" customHeight="false" outlineLevel="0" collapsed="false">
      <c r="A18" s="33"/>
      <c r="B18" s="33"/>
      <c r="C18" s="33"/>
      <c r="D18" s="33"/>
    </row>
  </sheetData>
  <mergeCells count="4">
    <mergeCell ref="A1:D1"/>
    <mergeCell ref="A2:D2"/>
    <mergeCell ref="A13:D13"/>
    <mergeCell ref="A14:D18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5" min="3" style="0" width="14"/>
  </cols>
  <sheetData>
    <row r="1" customFormat="false" ht="19.7" hidden="false" customHeight="false" outlineLevel="0" collapsed="false">
      <c r="A1" s="11" t="s">
        <v>62</v>
      </c>
      <c r="B1" s="11"/>
      <c r="C1" s="11"/>
      <c r="D1" s="11"/>
      <c r="E1" s="11"/>
    </row>
    <row r="2" customFormat="false" ht="15" hidden="false" customHeight="false" outlineLevel="0" collapsed="false">
      <c r="A2" s="12" t="s">
        <v>63</v>
      </c>
      <c r="B2" s="12"/>
      <c r="C2" s="12"/>
      <c r="D2" s="12"/>
      <c r="E2" s="12"/>
    </row>
    <row r="4" customFormat="false" ht="15" hidden="false" customHeight="false" outlineLevel="0" collapsed="false">
      <c r="A4" s="13" t="s">
        <v>7</v>
      </c>
      <c r="B4" s="13"/>
      <c r="C4" s="13"/>
      <c r="D4" s="13"/>
      <c r="E4" s="13"/>
    </row>
    <row r="5" customFormat="false" ht="15" hidden="false" customHeight="true" outlineLevel="0" collapsed="false">
      <c r="A5" s="34" t="s">
        <v>64</v>
      </c>
      <c r="B5" s="34"/>
      <c r="C5" s="34"/>
      <c r="D5" s="34"/>
      <c r="E5" s="34"/>
    </row>
    <row r="6" customFormat="false" ht="15" hidden="false" customHeight="false" outlineLevel="0" collapsed="false">
      <c r="A6" s="20" t="s">
        <v>27</v>
      </c>
      <c r="B6" s="20" t="s">
        <v>29</v>
      </c>
      <c r="C6" s="20" t="s">
        <v>39</v>
      </c>
      <c r="D6" s="20" t="s">
        <v>40</v>
      </c>
      <c r="E6" s="20" t="s">
        <v>65</v>
      </c>
    </row>
    <row r="7" customFormat="false" ht="15" hidden="false" customHeight="false" outlineLevel="0" collapsed="false">
      <c r="A7" s="14" t="s">
        <v>30</v>
      </c>
      <c r="B7" s="35" t="n">
        <f aca="false">'Input Assumptions'!B26</f>
        <v>60000</v>
      </c>
      <c r="C7" s="30" t="n">
        <f aca="false">'Input Assumptions'!F26</f>
        <v>450</v>
      </c>
      <c r="D7" s="30" t="n">
        <f aca="false">'Input Assumptions'!H26</f>
        <v>36</v>
      </c>
      <c r="E7" s="21" t="n">
        <f aca="false">IFERROR(B7/D7,0)</f>
        <v>1666.66666666667</v>
      </c>
    </row>
    <row r="8" customFormat="false" ht="15" hidden="false" customHeight="false" outlineLevel="0" collapsed="false">
      <c r="A8" s="14" t="s">
        <v>31</v>
      </c>
      <c r="B8" s="35" t="n">
        <f aca="false">'Input Assumptions'!B27</f>
        <v>52500</v>
      </c>
      <c r="C8" s="30" t="n">
        <f aca="false">'Input Assumptions'!F27</f>
        <v>60</v>
      </c>
      <c r="D8" s="30" t="n">
        <f aca="false">'Input Assumptions'!H27</f>
        <v>4.8</v>
      </c>
      <c r="E8" s="21" t="n">
        <f aca="false">IFERROR(B8/D8,0)</f>
        <v>10937.5</v>
      </c>
    </row>
    <row r="9" customFormat="false" ht="15" hidden="false" customHeight="false" outlineLevel="0" collapsed="false">
      <c r="A9" s="14" t="s">
        <v>32</v>
      </c>
      <c r="B9" s="35" t="n">
        <f aca="false">'Input Assumptions'!B28</f>
        <v>22500</v>
      </c>
      <c r="C9" s="30" t="n">
        <f aca="false">'Input Assumptions'!F28</f>
        <v>200</v>
      </c>
      <c r="D9" s="30" t="n">
        <f aca="false">'Input Assumptions'!H28</f>
        <v>16</v>
      </c>
      <c r="E9" s="21" t="n">
        <f aca="false">IFERROR(B9/D9,0)</f>
        <v>1406.25</v>
      </c>
    </row>
    <row r="10" customFormat="false" ht="15" hidden="false" customHeight="false" outlineLevel="0" collapsed="false">
      <c r="A10" s="14" t="s">
        <v>33</v>
      </c>
      <c r="B10" s="35" t="n">
        <f aca="false">'Input Assumptions'!B29</f>
        <v>15000</v>
      </c>
      <c r="C10" s="30" t="n">
        <f aca="false">'Input Assumptions'!F29</f>
        <v>50</v>
      </c>
      <c r="D10" s="30" t="n">
        <f aca="false">'Input Assumptions'!H29</f>
        <v>4</v>
      </c>
      <c r="E10" s="21" t="n">
        <f aca="false">IFERROR(B10/D10,0)</f>
        <v>3750</v>
      </c>
    </row>
    <row r="11" customFormat="false" ht="15" hidden="false" customHeight="false" outlineLevel="0" collapsed="false">
      <c r="A11" s="22" t="s">
        <v>66</v>
      </c>
      <c r="B11" s="24" t="n">
        <f aca="false">SUM(B7:B10)</f>
        <v>150000</v>
      </c>
      <c r="C11" s="27" t="n">
        <f aca="false">SUM(C7:C10)</f>
        <v>760</v>
      </c>
      <c r="D11" s="27" t="n">
        <f aca="false">SUM(D7:D10)</f>
        <v>60.8</v>
      </c>
      <c r="E11" s="24" t="n">
        <f aca="false">IFERROR(B11/D11,0)</f>
        <v>2467.1052631579</v>
      </c>
    </row>
    <row r="13" customFormat="false" ht="15" hidden="false" customHeight="false" outlineLevel="0" collapsed="false">
      <c r="A13" s="13" t="s">
        <v>8</v>
      </c>
      <c r="B13" s="13"/>
      <c r="C13" s="13"/>
      <c r="D13" s="13"/>
      <c r="E13" s="13"/>
    </row>
    <row r="14" customFormat="false" ht="15" hidden="false" customHeight="true" outlineLevel="0" collapsed="false">
      <c r="A14" s="34" t="s">
        <v>67</v>
      </c>
      <c r="B14" s="34"/>
      <c r="C14" s="34"/>
      <c r="D14" s="34"/>
      <c r="E14" s="34"/>
    </row>
    <row r="15" customFormat="false" ht="15" hidden="false" customHeight="false" outlineLevel="0" collapsed="false">
      <c r="A15" s="14" t="s">
        <v>68</v>
      </c>
      <c r="B15" s="35" t="n">
        <f aca="false">'Input Assumptions'!B8</f>
        <v>2500</v>
      </c>
    </row>
    <row r="16" customFormat="false" ht="15" hidden="false" customHeight="false" outlineLevel="0" collapsed="false">
      <c r="A16" s="14" t="s">
        <v>20</v>
      </c>
      <c r="B16" s="36" t="n">
        <f aca="false">'Input Assumptions'!B9</f>
        <v>0.04</v>
      </c>
    </row>
    <row r="17" customFormat="false" ht="15" hidden="false" customHeight="false" outlineLevel="0" collapsed="false">
      <c r="A17" s="14" t="s">
        <v>21</v>
      </c>
      <c r="B17" s="37" t="n">
        <f aca="false">'Input Assumptions'!B10</f>
        <v>25</v>
      </c>
    </row>
    <row r="18" customFormat="false" ht="15" hidden="false" customHeight="false" outlineLevel="0" collapsed="false">
      <c r="A18" s="14" t="s">
        <v>22</v>
      </c>
      <c r="B18" s="36" t="n">
        <f aca="false">'Input Assumptions'!B11</f>
        <v>0.7</v>
      </c>
    </row>
    <row r="19" customFormat="false" ht="15" hidden="false" customHeight="false" outlineLevel="0" collapsed="false">
      <c r="A19" s="22" t="s">
        <v>69</v>
      </c>
      <c r="B19" s="24" t="n">
        <f aca="false">B15*B17*B18</f>
        <v>43750</v>
      </c>
    </row>
    <row r="21" customFormat="false" ht="15" hidden="false" customHeight="false" outlineLevel="0" collapsed="false">
      <c r="A21" s="13" t="s">
        <v>70</v>
      </c>
      <c r="B21" s="13"/>
      <c r="C21" s="13"/>
    </row>
    <row r="22" customFormat="false" ht="15" hidden="false" customHeight="false" outlineLevel="0" collapsed="false">
      <c r="A22" s="20" t="s">
        <v>71</v>
      </c>
      <c r="B22" s="20" t="s">
        <v>72</v>
      </c>
      <c r="C22" s="20" t="s">
        <v>73</v>
      </c>
    </row>
    <row r="23" customFormat="false" ht="15" hidden="false" customHeight="false" outlineLevel="0" collapsed="false">
      <c r="A23" s="18" t="n">
        <v>0.02</v>
      </c>
      <c r="B23" s="19" t="n">
        <f aca="false">1/A23</f>
        <v>50</v>
      </c>
      <c r="C23" s="21" t="n">
        <f aca="false">$B$15*B23*$B$18</f>
        <v>87500</v>
      </c>
    </row>
    <row r="24" customFormat="false" ht="15" hidden="false" customHeight="false" outlineLevel="0" collapsed="false">
      <c r="A24" s="18" t="n">
        <v>0.03</v>
      </c>
      <c r="B24" s="19" t="n">
        <f aca="false">1/A24</f>
        <v>33.3333333333333</v>
      </c>
      <c r="C24" s="21" t="n">
        <f aca="false">$B$15*B24*$B$18</f>
        <v>58333.3333333333</v>
      </c>
    </row>
    <row r="25" customFormat="false" ht="15" hidden="false" customHeight="false" outlineLevel="0" collapsed="false">
      <c r="A25" s="18" t="n">
        <v>0.04</v>
      </c>
      <c r="B25" s="19" t="n">
        <f aca="false">1/A25</f>
        <v>25</v>
      </c>
      <c r="C25" s="21" t="n">
        <f aca="false">$B$15*B25*$B$18</f>
        <v>43750</v>
      </c>
    </row>
    <row r="26" customFormat="false" ht="15" hidden="false" customHeight="false" outlineLevel="0" collapsed="false">
      <c r="A26" s="18" t="n">
        <v>0.05</v>
      </c>
      <c r="B26" s="19" t="n">
        <f aca="false">1/A26</f>
        <v>20</v>
      </c>
      <c r="C26" s="21" t="n">
        <f aca="false">$B$15*B26*$B$18</f>
        <v>35000</v>
      </c>
    </row>
    <row r="27" customFormat="false" ht="15" hidden="false" customHeight="false" outlineLevel="0" collapsed="false">
      <c r="A27" s="18" t="n">
        <v>0.06</v>
      </c>
      <c r="B27" s="19" t="n">
        <f aca="false">1/A27</f>
        <v>16.6666666666667</v>
      </c>
      <c r="C27" s="21" t="n">
        <f aca="false">$B$15*B27*$B$18</f>
        <v>29166.6666666667</v>
      </c>
    </row>
    <row r="29" customFormat="false" ht="15" hidden="false" customHeight="true" outlineLevel="0" collapsed="false">
      <c r="A29" s="29" t="s">
        <v>74</v>
      </c>
      <c r="B29" s="29"/>
      <c r="C29" s="29"/>
      <c r="D29" s="29"/>
      <c r="E29" s="29"/>
    </row>
    <row r="30" customFormat="false" ht="15" hidden="false" customHeight="false" outlineLevel="0" collapsed="false">
      <c r="A30" s="29"/>
      <c r="B30" s="29"/>
      <c r="C30" s="29"/>
      <c r="D30" s="29"/>
      <c r="E30" s="29"/>
    </row>
    <row r="32" customFormat="false" ht="15" hidden="false" customHeight="false" outlineLevel="0" collapsed="false">
      <c r="A32" s="38" t="s">
        <v>75</v>
      </c>
    </row>
    <row r="33" customFormat="false" ht="15" hidden="false" customHeight="false" outlineLevel="0" collapsed="false">
      <c r="A33" s="14" t="s">
        <v>76</v>
      </c>
      <c r="B33" s="21" t="n">
        <f aca="false">E11</f>
        <v>2467.1052631579</v>
      </c>
    </row>
    <row r="34" customFormat="false" ht="15" hidden="false" customHeight="false" outlineLevel="0" collapsed="false">
      <c r="A34" s="14" t="s">
        <v>77</v>
      </c>
      <c r="B34" s="21" t="n">
        <f aca="false">B19</f>
        <v>43750</v>
      </c>
    </row>
  </sheetData>
  <mergeCells count="8">
    <mergeCell ref="A1:E1"/>
    <mergeCell ref="A2:E2"/>
    <mergeCell ref="A4:E4"/>
    <mergeCell ref="A5:E5"/>
    <mergeCell ref="A13:E13"/>
    <mergeCell ref="A14:E14"/>
    <mergeCell ref="A21:C21"/>
    <mergeCell ref="A29:E3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tru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1" t="s">
        <v>78</v>
      </c>
      <c r="B1" s="11"/>
      <c r="C1" s="11"/>
      <c r="D1" s="11"/>
      <c r="E1" s="11"/>
    </row>
    <row r="2" customFormat="false" ht="15" hidden="false" customHeight="false" outlineLevel="0" collapsed="false">
      <c r="A2" s="12" t="s">
        <v>63</v>
      </c>
      <c r="B2" s="12"/>
      <c r="C2" s="12"/>
      <c r="D2" s="12"/>
      <c r="E2" s="12"/>
    </row>
    <row r="4" customFormat="false" ht="15" hidden="false" customHeight="false" outlineLevel="0" collapsed="false">
      <c r="A4" s="13" t="s">
        <v>79</v>
      </c>
      <c r="B4" s="13"/>
    </row>
    <row r="5" customFormat="false" ht="15" hidden="false" customHeight="false" outlineLevel="0" collapsed="false">
      <c r="A5" s="14" t="s">
        <v>80</v>
      </c>
      <c r="B5" s="35" t="n">
        <f aca="false">'Input Assumptions'!B6</f>
        <v>150000</v>
      </c>
    </row>
    <row r="6" customFormat="false" ht="15" hidden="false" customHeight="false" outlineLevel="0" collapsed="false">
      <c r="A6" s="14" t="s">
        <v>6</v>
      </c>
      <c r="B6" s="30" t="n">
        <f aca="false">'CAC &amp; LTV Analysis'!D11</f>
        <v>60.8</v>
      </c>
    </row>
    <row r="7" customFormat="false" ht="15" hidden="false" customHeight="false" outlineLevel="0" collapsed="false">
      <c r="A7" s="14" t="s">
        <v>65</v>
      </c>
      <c r="B7" s="35" t="n">
        <f aca="false">'CAC &amp; LTV Analysis'!E11</f>
        <v>2467.1052631579</v>
      </c>
    </row>
    <row r="8" customFormat="false" ht="15" hidden="false" customHeight="false" outlineLevel="0" collapsed="false">
      <c r="A8" s="14" t="s">
        <v>68</v>
      </c>
      <c r="B8" s="35" t="n">
        <f aca="false">'Input Assumptions'!B8</f>
        <v>2500</v>
      </c>
    </row>
    <row r="9" customFormat="false" ht="15" hidden="false" customHeight="false" outlineLevel="0" collapsed="false">
      <c r="A9" s="14" t="s">
        <v>81</v>
      </c>
      <c r="B9" s="21" t="n">
        <f aca="false">B6*B8</f>
        <v>152000</v>
      </c>
    </row>
    <row r="10" customFormat="false" ht="15" hidden="false" customHeight="false" outlineLevel="0" collapsed="false">
      <c r="A10" s="14" t="s">
        <v>22</v>
      </c>
      <c r="B10" s="36" t="n">
        <f aca="false">'Input Assumptions'!B11</f>
        <v>0.7</v>
      </c>
    </row>
    <row r="11" customFormat="false" ht="15" hidden="false" customHeight="false" outlineLevel="0" collapsed="false">
      <c r="A11" s="14" t="s">
        <v>82</v>
      </c>
      <c r="B11" s="21" t="n">
        <f aca="false">B9*B10</f>
        <v>106400</v>
      </c>
    </row>
    <row r="12" customFormat="false" ht="15" hidden="false" customHeight="false" outlineLevel="0" collapsed="false">
      <c r="A12" s="14" t="s">
        <v>83</v>
      </c>
      <c r="B12" s="24" t="n">
        <f aca="false">B11-B5</f>
        <v>-43600</v>
      </c>
    </row>
    <row r="13" customFormat="false" ht="15" hidden="false" customHeight="false" outlineLevel="0" collapsed="false">
      <c r="A13" s="14" t="s">
        <v>84</v>
      </c>
      <c r="B13" s="23" t="n">
        <f aca="false">IFERROR((B11-B5)/B5,0)</f>
        <v>-0.290666666666667</v>
      </c>
    </row>
    <row r="14" customFormat="false" ht="15" hidden="false" customHeight="false" outlineLevel="0" collapsed="false">
      <c r="A14" s="14" t="s">
        <v>73</v>
      </c>
      <c r="B14" s="35" t="n">
        <f aca="false">'CAC &amp; LTV Analysis'!B19</f>
        <v>43750</v>
      </c>
    </row>
    <row r="15" customFormat="false" ht="15" hidden="false" customHeight="false" outlineLevel="0" collapsed="false">
      <c r="A15" s="14" t="s">
        <v>9</v>
      </c>
      <c r="B15" s="39" t="n">
        <f aca="false">IFERROR(B14/B7,0)</f>
        <v>17.7333333333333</v>
      </c>
    </row>
    <row r="16" customFormat="false" ht="15" hidden="false" customHeight="false" outlineLevel="0" collapsed="false">
      <c r="A16" s="14" t="s">
        <v>85</v>
      </c>
      <c r="B16" s="21" t="n">
        <f aca="false">B8*B10</f>
        <v>1750</v>
      </c>
    </row>
    <row r="17" customFormat="false" ht="15" hidden="false" customHeight="false" outlineLevel="0" collapsed="false">
      <c r="A17" s="14" t="s">
        <v>86</v>
      </c>
      <c r="B17" s="26" t="n">
        <f aca="false">IFERROR(B5/B16,0)</f>
        <v>85.7142857142857</v>
      </c>
    </row>
    <row r="18" customFormat="false" ht="15" hidden="false" customHeight="true" outlineLevel="0" collapsed="false">
      <c r="A18" s="29" t="s">
        <v>87</v>
      </c>
      <c r="B18" s="29"/>
      <c r="C18" s="29"/>
      <c r="D18" s="29"/>
      <c r="E18" s="29"/>
    </row>
    <row r="19" customFormat="false" ht="15" hidden="false" customHeight="false" outlineLevel="0" collapsed="false">
      <c r="A19" s="29"/>
      <c r="B19" s="29"/>
      <c r="C19" s="29"/>
      <c r="D19" s="29"/>
      <c r="E19" s="29"/>
    </row>
    <row r="21" customFormat="false" ht="15" hidden="false" customHeight="false" outlineLevel="0" collapsed="false">
      <c r="A21" s="13" t="s">
        <v>88</v>
      </c>
      <c r="B21" s="13"/>
      <c r="C21" s="13"/>
      <c r="D21" s="13"/>
    </row>
    <row r="22" customFormat="false" ht="15" hidden="false" customHeight="false" outlineLevel="0" collapsed="false">
      <c r="A22" s="20" t="s">
        <v>89</v>
      </c>
      <c r="B22" s="20" t="s">
        <v>90</v>
      </c>
      <c r="C22" s="20" t="s">
        <v>91</v>
      </c>
      <c r="D22" s="20" t="s">
        <v>92</v>
      </c>
    </row>
    <row r="23" customFormat="false" ht="23.85" hidden="false" customHeight="false" outlineLevel="0" collapsed="false">
      <c r="A23" s="14" t="s">
        <v>93</v>
      </c>
      <c r="B23" s="40" t="n">
        <v>0.7</v>
      </c>
      <c r="C23" s="40" t="n">
        <v>1</v>
      </c>
      <c r="D23" s="40" t="n">
        <v>1.3</v>
      </c>
    </row>
    <row r="24" customFormat="false" ht="15" hidden="false" customHeight="false" outlineLevel="0" collapsed="false">
      <c r="A24" s="14" t="s">
        <v>39</v>
      </c>
      <c r="B24" s="26" t="n">
        <f aca="false">'Input Assumptions'!$F$30*B23</f>
        <v>532</v>
      </c>
      <c r="C24" s="26" t="n">
        <f aca="false">'Input Assumptions'!$F$30*C23</f>
        <v>760</v>
      </c>
      <c r="D24" s="26" t="n">
        <f aca="false">'Input Assumptions'!$F$30*D23</f>
        <v>988</v>
      </c>
    </row>
    <row r="25" customFormat="false" ht="15" hidden="false" customHeight="false" outlineLevel="0" collapsed="false">
      <c r="A25" s="14" t="s">
        <v>40</v>
      </c>
      <c r="B25" s="26" t="n">
        <f aca="false">'Input Assumptions'!$H$30*B23</f>
        <v>42.56</v>
      </c>
      <c r="C25" s="26" t="n">
        <f aca="false">'Input Assumptions'!$H$30*C23</f>
        <v>60.8</v>
      </c>
      <c r="D25" s="26" t="n">
        <f aca="false">'Input Assumptions'!$H$30*D23</f>
        <v>79.04</v>
      </c>
    </row>
    <row r="26" customFormat="false" ht="15" hidden="false" customHeight="false" outlineLevel="0" collapsed="false">
      <c r="A26" s="14" t="s">
        <v>65</v>
      </c>
      <c r="B26" s="21" t="n">
        <f aca="false">IFERROR($B$5/B25,0)</f>
        <v>3524.43609022556</v>
      </c>
      <c r="C26" s="21" t="n">
        <f aca="false">IFERROR($B$5/C25,0)</f>
        <v>2467.1052631579</v>
      </c>
      <c r="D26" s="21" t="n">
        <f aca="false">IFERROR($B$5/D25,0)</f>
        <v>1897.77327935223</v>
      </c>
    </row>
    <row r="27" customFormat="false" ht="15" hidden="false" customHeight="false" outlineLevel="0" collapsed="false">
      <c r="A27" s="14" t="s">
        <v>73</v>
      </c>
      <c r="B27" s="21" t="n">
        <f aca="false">$B$14</f>
        <v>43750</v>
      </c>
      <c r="C27" s="21" t="n">
        <f aca="false">$B$14</f>
        <v>43750</v>
      </c>
      <c r="D27" s="21" t="n">
        <f aca="false">$B$14</f>
        <v>43750</v>
      </c>
    </row>
    <row r="28" customFormat="false" ht="15" hidden="false" customHeight="false" outlineLevel="0" collapsed="false">
      <c r="A28" s="14" t="s">
        <v>94</v>
      </c>
      <c r="B28" s="21" t="n">
        <f aca="false">B25*$B$8</f>
        <v>106400</v>
      </c>
      <c r="C28" s="21" t="n">
        <f aca="false">C25*$B$8</f>
        <v>152000</v>
      </c>
      <c r="D28" s="21" t="n">
        <f aca="false">D25*$B$8</f>
        <v>197600</v>
      </c>
    </row>
    <row r="29" customFormat="false" ht="15" hidden="false" customHeight="false" outlineLevel="0" collapsed="false">
      <c r="A29" s="22" t="s">
        <v>84</v>
      </c>
      <c r="B29" s="23" t="n">
        <f aca="false">IFERROR((B28*$B$10-$B$5)/$B$5,0)</f>
        <v>-0.503466666666667</v>
      </c>
      <c r="C29" s="23" t="n">
        <f aca="false">IFERROR((C28*$B$10-$B$5)/$B$5,0)</f>
        <v>-0.290666666666667</v>
      </c>
      <c r="D29" s="23" t="n">
        <f aca="false">IFERROR((D28*$B$10-$B$5)/$B$5,0)</f>
        <v>-0.0778666666666669</v>
      </c>
    </row>
    <row r="31" customFormat="false" ht="15" hidden="false" customHeight="true" outlineLevel="0" collapsed="false">
      <c r="A31" s="29" t="s">
        <v>95</v>
      </c>
      <c r="B31" s="29"/>
      <c r="C31" s="29"/>
      <c r="D31" s="29"/>
      <c r="E31" s="29"/>
    </row>
    <row r="32" customFormat="false" ht="15" hidden="false" customHeight="false" outlineLevel="0" collapsed="false">
      <c r="A32" s="29"/>
      <c r="B32" s="29"/>
      <c r="C32" s="29"/>
      <c r="D32" s="29"/>
      <c r="E32" s="29"/>
    </row>
    <row r="34" customFormat="false" ht="15" hidden="false" customHeight="false" outlineLevel="0" collapsed="false">
      <c r="A34" s="13" t="s">
        <v>96</v>
      </c>
      <c r="B34" s="13"/>
      <c r="C34" s="13"/>
      <c r="D34" s="13"/>
      <c r="E34" s="13"/>
    </row>
    <row r="35" customFormat="false" ht="15" hidden="false" customHeight="true" outlineLevel="0" collapsed="false">
      <c r="A35" s="33" t="s">
        <v>97</v>
      </c>
      <c r="B35" s="33"/>
      <c r="C35" s="33"/>
      <c r="D35" s="33"/>
      <c r="E35" s="33"/>
    </row>
    <row r="36" customFormat="false" ht="15" hidden="false" customHeight="false" outlineLevel="0" collapsed="false">
      <c r="A36" s="33"/>
      <c r="B36" s="33"/>
      <c r="C36" s="33"/>
      <c r="D36" s="33"/>
      <c r="E36" s="33"/>
    </row>
    <row r="37" customFormat="false" ht="15" hidden="false" customHeight="false" outlineLevel="0" collapsed="false">
      <c r="A37" s="33"/>
      <c r="B37" s="33"/>
      <c r="C37" s="33"/>
      <c r="D37" s="33"/>
      <c r="E37" s="33"/>
    </row>
    <row r="38" customFormat="false" ht="15" hidden="false" customHeight="false" outlineLevel="0" collapsed="false">
      <c r="A38" s="33"/>
      <c r="B38" s="33"/>
      <c r="C38" s="33"/>
      <c r="D38" s="33"/>
      <c r="E38" s="33"/>
    </row>
    <row r="39" customFormat="false" ht="15" hidden="false" customHeight="false" outlineLevel="0" collapsed="false">
      <c r="A39" s="33"/>
      <c r="B39" s="33"/>
      <c r="C39" s="33"/>
      <c r="D39" s="33"/>
      <c r="E39" s="33"/>
    </row>
  </sheetData>
  <mergeCells count="8">
    <mergeCell ref="A1:E1"/>
    <mergeCell ref="A2:E2"/>
    <mergeCell ref="A4:B4"/>
    <mergeCell ref="A18:E19"/>
    <mergeCell ref="A21:D21"/>
    <mergeCell ref="A31:E32"/>
    <mergeCell ref="A34:E34"/>
    <mergeCell ref="A35:E3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tru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1" t="s">
        <v>98</v>
      </c>
      <c r="B1" s="11"/>
    </row>
    <row r="2" customFormat="false" ht="15" hidden="false" customHeight="false" outlineLevel="0" collapsed="false">
      <c r="A2" s="12" t="s">
        <v>99</v>
      </c>
      <c r="B2" s="12"/>
    </row>
    <row r="4" customFormat="false" ht="15" hidden="false" customHeight="false" outlineLevel="0" collapsed="false">
      <c r="A4" s="20" t="s">
        <v>100</v>
      </c>
      <c r="B4" s="20" t="s">
        <v>101</v>
      </c>
    </row>
    <row r="5" customFormat="false" ht="30" hidden="false" customHeight="true" outlineLevel="0" collapsed="false">
      <c r="A5" s="22" t="s">
        <v>102</v>
      </c>
      <c r="B5" s="41" t="s">
        <v>103</v>
      </c>
    </row>
    <row r="6" customFormat="false" ht="30" hidden="false" customHeight="true" outlineLevel="0" collapsed="false">
      <c r="A6" s="22" t="s">
        <v>104</v>
      </c>
      <c r="B6" s="41" t="s">
        <v>105</v>
      </c>
    </row>
    <row r="7" customFormat="false" ht="30" hidden="false" customHeight="true" outlineLevel="0" collapsed="false">
      <c r="A7" s="22" t="s">
        <v>106</v>
      </c>
      <c r="B7" s="41" t="s">
        <v>107</v>
      </c>
    </row>
    <row r="8" customFormat="false" ht="30" hidden="false" customHeight="true" outlineLevel="0" collapsed="false">
      <c r="A8" s="22" t="s">
        <v>108</v>
      </c>
      <c r="B8" s="41" t="s">
        <v>109</v>
      </c>
    </row>
    <row r="9" customFormat="false" ht="30" hidden="false" customHeight="true" outlineLevel="0" collapsed="false">
      <c r="A9" s="22" t="s">
        <v>110</v>
      </c>
      <c r="B9" s="41" t="s">
        <v>111</v>
      </c>
    </row>
    <row r="10" customFormat="false" ht="30" hidden="false" customHeight="true" outlineLevel="0" collapsed="false">
      <c r="A10" s="22" t="s">
        <v>112</v>
      </c>
      <c r="B10" s="41" t="s">
        <v>113</v>
      </c>
    </row>
    <row r="11" customFormat="false" ht="30" hidden="false" customHeight="true" outlineLevel="0" collapsed="false">
      <c r="A11" s="22" t="s">
        <v>114</v>
      </c>
      <c r="B11" s="41" t="s">
        <v>115</v>
      </c>
    </row>
    <row r="12" customFormat="false" ht="30" hidden="false" customHeight="true" outlineLevel="0" collapsed="false">
      <c r="A12" s="22" t="s">
        <v>9</v>
      </c>
      <c r="B12" s="41" t="s">
        <v>116</v>
      </c>
    </row>
    <row r="13" customFormat="false" ht="30" hidden="false" customHeight="true" outlineLevel="0" collapsed="false">
      <c r="A13" s="22" t="s">
        <v>117</v>
      </c>
      <c r="B13" s="41" t="s">
        <v>118</v>
      </c>
    </row>
    <row r="14" customFormat="false" ht="30" hidden="false" customHeight="true" outlineLevel="0" collapsed="false">
      <c r="A14" s="22" t="s">
        <v>119</v>
      </c>
      <c r="B14" s="41" t="s">
        <v>120</v>
      </c>
    </row>
    <row r="15" customFormat="false" ht="30" hidden="false" customHeight="true" outlineLevel="0" collapsed="false">
      <c r="A15" s="22" t="s">
        <v>121</v>
      </c>
      <c r="B15" s="41" t="s">
        <v>122</v>
      </c>
    </row>
    <row r="16" customFormat="false" ht="30" hidden="false" customHeight="true" outlineLevel="0" collapsed="false">
      <c r="A16" s="22" t="s">
        <v>123</v>
      </c>
      <c r="B16" s="41" t="s">
        <v>124</v>
      </c>
    </row>
    <row r="18" customFormat="false" ht="15" hidden="false" customHeight="false" outlineLevel="0" collapsed="false">
      <c r="A18" s="13" t="s">
        <v>125</v>
      </c>
      <c r="B18" s="13"/>
    </row>
    <row r="19" customFormat="false" ht="15" hidden="false" customHeight="false" outlineLevel="0" collapsed="false">
      <c r="A19" s="14" t="s">
        <v>126</v>
      </c>
      <c r="B19" s="41" t="s">
        <v>127</v>
      </c>
    </row>
    <row r="20" customFormat="false" ht="15" hidden="false" customHeight="false" outlineLevel="0" collapsed="false">
      <c r="A20" s="14" t="s">
        <v>126</v>
      </c>
      <c r="B20" s="41" t="s">
        <v>128</v>
      </c>
    </row>
    <row r="21" customFormat="false" ht="15" hidden="false" customHeight="false" outlineLevel="0" collapsed="false">
      <c r="A21" s="14" t="s">
        <v>126</v>
      </c>
      <c r="B21" s="41" t="s">
        <v>129</v>
      </c>
    </row>
    <row r="22" customFormat="false" ht="15" hidden="false" customHeight="false" outlineLevel="0" collapsed="false">
      <c r="A22" s="14" t="s">
        <v>126</v>
      </c>
      <c r="B22" s="41" t="s">
        <v>130</v>
      </c>
    </row>
    <row r="23" customFormat="false" ht="15" hidden="false" customHeight="false" outlineLevel="0" collapsed="false">
      <c r="A23" s="14" t="s">
        <v>126</v>
      </c>
      <c r="B23" s="41" t="s">
        <v>131</v>
      </c>
    </row>
  </sheetData>
  <mergeCells count="3">
    <mergeCell ref="A1:B1"/>
    <mergeCell ref="A2:B2"/>
    <mergeCell ref="A18:B18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2026-09-13T05:00:58Z</dcterms:created>
  <dc:creator>openpyxl</dc:creator>
  <dc:description/>
  <dc:language>en-US</dc:language>
  <cp:lastModifiedBy/>
  <dcterms:modified xsi:type="dcterms:W3CDTF">2026-09-13T05:01:00Z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